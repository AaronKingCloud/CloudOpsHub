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_tro\Desktop\School\CAA900\"/>
    </mc:Choice>
  </mc:AlternateContent>
  <xr:revisionPtr revIDLastSave="0" documentId="8_{3780454B-B887-40D6-8CBA-830ABF2552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1" r:id="rId1"/>
    <sheet name="Risk Register" sheetId="2" r:id="rId2"/>
    <sheet name="Rating Scal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2" l="1"/>
  <c r="H20" i="2" s="1"/>
  <c r="G16" i="1" s="1"/>
  <c r="G19" i="2"/>
  <c r="H19" i="2" s="1"/>
  <c r="G18" i="2"/>
  <c r="H18" i="2" s="1"/>
  <c r="G17" i="2"/>
  <c r="H17" i="2" s="1"/>
  <c r="G15" i="1" s="1"/>
  <c r="G16" i="2"/>
  <c r="H16" i="2" s="1"/>
  <c r="G15" i="2"/>
  <c r="H15" i="2" s="1"/>
  <c r="G10" i="1" s="1"/>
  <c r="G14" i="2"/>
  <c r="H14" i="2" s="1"/>
  <c r="G13" i="2"/>
  <c r="H13" i="2" s="1"/>
  <c r="G14" i="1" s="1"/>
  <c r="G12" i="2"/>
  <c r="H12" i="2" s="1"/>
  <c r="G13" i="1" s="1"/>
  <c r="G11" i="2"/>
  <c r="H11" i="2" s="1"/>
  <c r="G10" i="2"/>
  <c r="H10" i="2" s="1"/>
  <c r="G9" i="2"/>
  <c r="H9" i="2" s="1"/>
  <c r="G12" i="1" s="1"/>
  <c r="G8" i="2"/>
  <c r="H8" i="2" s="1"/>
  <c r="G7" i="2"/>
  <c r="H7" i="2" s="1"/>
  <c r="G6" i="2"/>
  <c r="F11" i="1" s="1"/>
  <c r="G5" i="2"/>
  <c r="F9" i="1" s="1"/>
  <c r="F16" i="1"/>
  <c r="E16" i="1"/>
  <c r="D16" i="1"/>
  <c r="C16" i="1"/>
  <c r="B16" i="1"/>
  <c r="A16" i="1"/>
  <c r="F15" i="1"/>
  <c r="E15" i="1"/>
  <c r="D15" i="1"/>
  <c r="C15" i="1"/>
  <c r="B15" i="1"/>
  <c r="A15" i="1"/>
  <c r="F14" i="1"/>
  <c r="E14" i="1"/>
  <c r="D14" i="1"/>
  <c r="C14" i="1"/>
  <c r="B14" i="1"/>
  <c r="A14" i="1"/>
  <c r="F13" i="1"/>
  <c r="E13" i="1"/>
  <c r="D13" i="1"/>
  <c r="C13" i="1"/>
  <c r="B13" i="1"/>
  <c r="A13" i="1"/>
  <c r="F12" i="1"/>
  <c r="E12" i="1"/>
  <c r="D12" i="1"/>
  <c r="C12" i="1"/>
  <c r="B12" i="1"/>
  <c r="A12" i="1"/>
  <c r="E11" i="1"/>
  <c r="D11" i="1"/>
  <c r="C11" i="1"/>
  <c r="B11" i="1"/>
  <c r="A11" i="1"/>
  <c r="F10" i="1"/>
  <c r="E10" i="1"/>
  <c r="D10" i="1"/>
  <c r="C10" i="1"/>
  <c r="B10" i="1"/>
  <c r="A10" i="1"/>
  <c r="E9" i="1"/>
  <c r="D9" i="1"/>
  <c r="C9" i="1"/>
  <c r="B9" i="1"/>
  <c r="A9" i="1"/>
  <c r="C5" i="1"/>
  <c r="B5" i="1"/>
  <c r="A5" i="1"/>
  <c r="H5" i="2" l="1"/>
  <c r="G9" i="1" s="1"/>
  <c r="H6" i="2"/>
  <c r="G11" i="1" s="1"/>
</calcChain>
</file>

<file path=xl/sharedStrings.xml><?xml version="1.0" encoding="utf-8"?>
<sst xmlns="http://schemas.openxmlformats.org/spreadsheetml/2006/main" count="142" uniqueCount="118">
  <si>
    <t>CloudOps Hub - Risk Management Dashboard</t>
  </si>
  <si>
    <t>Overview &amp; Top Risks Summary</t>
  </si>
  <si>
    <t>Total Risks</t>
  </si>
  <si>
    <t>Critical Risks (Score ≥ 6)</t>
  </si>
  <si>
    <t>Moderate/Low Risks</t>
  </si>
  <si>
    <t>Top Risks Requiring Immediate Attention (Score ≥ 6)</t>
  </si>
  <si>
    <t>Risk ID</t>
  </si>
  <si>
    <t>Category</t>
  </si>
  <si>
    <t>Risk Name</t>
  </si>
  <si>
    <t>Probability</t>
  </si>
  <si>
    <t>Impact</t>
  </si>
  <si>
    <t>Risk Score</t>
  </si>
  <si>
    <t>Risk Level</t>
  </si>
  <si>
    <t>CloudOps Hub - Risk Register</t>
  </si>
  <si>
    <t>Project Type: Cloud-Native Monitoring and Operations Platform | Prepared By: Capstone Team</t>
  </si>
  <si>
    <t>Description</t>
  </si>
  <si>
    <t>Mitigation Strategy</t>
  </si>
  <si>
    <t>Contingency Plan</t>
  </si>
  <si>
    <t>R001</t>
  </si>
  <si>
    <t>Technical Risks</t>
  </si>
  <si>
    <t>Scope Creep</t>
  </si>
  <si>
    <t>Additional features are continuously added during development, increasing complexity and jeopardizing project completion.</t>
  </si>
  <si>
    <t>Define a strict MVP
Place all non-essential features into a Future Enhancements backlog
Require team approval before accepting new features</t>
  </si>
  <si>
    <t>Remove stretch goals and focus on core monitoring functionality.</t>
  </si>
  <si>
    <t>R002</t>
  </si>
  <si>
    <t>Monitoring Agent Complexity</t>
  </si>
  <si>
    <t>Data collection agents may become more difficult to implement than anticipated across various operating systems and devices.</t>
  </si>
  <si>
    <t>Start with Linux monitoring only
Use existing APIs or open-source exporters where possible
Standardize collected metrics</t>
  </si>
  <si>
    <t>Use simulated devices or pre-existing monitoring exporters.</t>
  </si>
  <si>
    <t>R003</t>
  </si>
  <si>
    <t>Integration Challenges</t>
  </si>
  <si>
    <t>Third-party integrations such as Proxmox, Docker, Unraid, or NAS systems may present compatibility issues.</t>
  </si>
  <si>
    <t>Build platform-independent monitoring first
Treat integrations as stretch goals</t>
  </si>
  <si>
    <t>Demonstrate functionality using generic Linux systems.</t>
  </si>
  <si>
    <t>R004</t>
  </si>
  <si>
    <t>Database Design Errors</t>
  </si>
  <si>
    <t>Poor schema design may impact scalability or require significant redesign later.</t>
  </si>
  <si>
    <t>Perform design reviews prior to implementation
Build ERD before development
Normalize core entities</t>
  </si>
  <si>
    <t>Refactor database and migrate data structures.</t>
  </si>
  <si>
    <t>R005</t>
  </si>
  <si>
    <t>Cloud &amp; Infrastructure Risks</t>
  </si>
  <si>
    <t>Lack of Azure/AWS Access</t>
  </si>
  <si>
    <t>Cloud resources may not be available early in the project.</t>
  </si>
  <si>
    <t>Develop locally using Docker
Use Terraform modules without deployment
Use free-tier accounts later</t>
  </si>
  <si>
    <t>Deploy proof-of-concept locally and present cloud-ready architecture.</t>
  </si>
  <si>
    <t>R006</t>
  </si>
  <si>
    <t>Unexpected Cloud Costs</t>
  </si>
  <si>
    <t>Monitoring workloads could exceed free-tier limits.</t>
  </si>
  <si>
    <t>Use budgets and alerts
Minimize ingestion volume
Remove unnecessary telemetry</t>
  </si>
  <si>
    <t>Migrate portions to local infrastructure.</t>
  </si>
  <si>
    <t>R007</t>
  </si>
  <si>
    <t>Infrastructure Deployment Failure</t>
  </si>
  <si>
    <t>Terraform or deployment automation could fail due to configuration errors.</t>
  </si>
  <si>
    <t>Use version-controlled IaC
Test deployments in small environments</t>
  </si>
  <si>
    <t>Deploy using manual procedures while troubleshooting.</t>
  </si>
  <si>
    <t>R008</t>
  </si>
  <si>
    <t>Security Risks</t>
  </si>
  <si>
    <t>Sensitive Data Exposure</t>
  </si>
  <si>
    <t>Credentials, API keys, or secrets could accidentally be stored in source control.</t>
  </si>
  <si>
    <t>Use environment variables
Implement secret scanning
Use secret management tools</t>
  </si>
  <si>
    <t>Rotate compromised credentials immediately.</t>
  </si>
  <si>
    <t>R009</t>
  </si>
  <si>
    <t>Authentication Vulnerabilities</t>
  </si>
  <si>
    <t>Improper authentication implementation may expose accounts.</t>
  </si>
  <si>
    <t>Use proven authentication frameworks
Follow OWASP recommendations
Test authorization policies</t>
  </si>
  <si>
    <t>Temporarily disable affected functionality until corrected.</t>
  </si>
  <si>
    <t>R010</t>
  </si>
  <si>
    <t>Unauthorized Access to Monitoring Data</t>
  </si>
  <si>
    <t>Users may gain access to resources belonging to other users.</t>
  </si>
  <si>
    <t>Implement RBAC
Separate tenant data
Test permissions extensively</t>
  </si>
  <si>
    <t>Restrict account access and correct permission models.</t>
  </si>
  <si>
    <t>R011</t>
  </si>
  <si>
    <t>Project Management Risks</t>
  </si>
  <si>
    <t>Insufficient Development Time</t>
  </si>
  <si>
    <t>Project effort exceeds available academic term.</t>
  </si>
  <si>
    <t>Maintain MVP focus
Time-box development phases
Prioritize core requirements</t>
  </si>
  <si>
    <t>Remove non-essential features and integrations.</t>
  </si>
  <si>
    <t>R012</t>
  </si>
  <si>
    <t>Team Availability</t>
  </si>
  <si>
    <t>Team members may become unavailable due to coursework, work obligations, or illness.</t>
  </si>
  <si>
    <t>Share responsibilities
Maintain documentation
Conduct regular progress reviews</t>
  </si>
  <si>
    <t>Redistribute work among remaining members.</t>
  </si>
  <si>
    <t>R013</t>
  </si>
  <si>
    <t>Poor Documentation</t>
  </si>
  <si>
    <t>Documentation may fall behind development activities.</t>
  </si>
  <si>
    <t>Document features as they are completed
Assign documentation ownership</t>
  </si>
  <si>
    <t>Dedicate final project phase exclusively to documentation.</t>
  </si>
  <si>
    <t>R014</t>
  </si>
  <si>
    <t>Operational Risks</t>
  </si>
  <si>
    <t>Alert Fatigue</t>
  </si>
  <si>
    <t>Excessive notifications may reduce the usefulness of alerting.</t>
  </si>
  <si>
    <t>Define meaningful thresholds
Implement alert suppression rules
Prioritize critical alerts</t>
  </si>
  <si>
    <t>Reduce alert frequency and increase thresholds.</t>
  </si>
  <si>
    <t>R015</t>
  </si>
  <si>
    <t>System Performance Issues</t>
  </si>
  <si>
    <t>Dashboard or API performance may degrade as monitored devices increase.</t>
  </si>
  <si>
    <t>Optimize database queries
Use caching where appropriate
Limit MVP scale assumptions</t>
  </si>
  <si>
    <t>Reduce monitoring frequency and archive historical data.</t>
  </si>
  <si>
    <t>R016</t>
  </si>
  <si>
    <t>Academic Risks</t>
  </si>
  <si>
    <t>Failure to Meet Capstone Requirements</t>
  </si>
  <si>
    <t>Project implementation may not adequately demonstrate required cloud concepts.</t>
  </si>
  <si>
    <t>Map every deliverable to course outcomes:
• Security
• Monitoring
• Automation
• Business continuity
• Well-Architected Framework
• CI/CD</t>
  </si>
  <si>
    <t>Develop supplementary documentation and demonstrations.</t>
  </si>
  <si>
    <t>Risk Rating Scales</t>
  </si>
  <si>
    <t>Probability Scale</t>
  </si>
  <si>
    <t>Impact Scale</t>
  </si>
  <si>
    <t>Level</t>
  </si>
  <si>
    <t>Score</t>
  </si>
  <si>
    <t>Low</t>
  </si>
  <si>
    <t>Unlikely to occur</t>
  </si>
  <si>
    <t>Minor project disruption</t>
  </si>
  <si>
    <t>Medium</t>
  </si>
  <si>
    <t>Could occur</t>
  </si>
  <si>
    <t>Noticeable delay or reduction in scope</t>
  </si>
  <si>
    <t>High</t>
  </si>
  <si>
    <t>Likely to occur</t>
  </si>
  <si>
    <t>Major impact on project 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</si>
</sst>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rgb="FF2C3E50"/>
      <name val="Calibri"/>
    </font>
    <font>
      <b/>
      <sz val="13"/>
      <color rgb="FF2C3E50"/>
      <name val="Calibri"/>
    </font>
    <font>
      <b/>
      <sz val="11"/>
      <color rgb="FFFFFFFF"/>
      <name val="Calibri"/>
    </font>
    <font>
      <i/>
      <sz val="11"/>
      <color rgb="FF7F8C8D"/>
      <name val="Calibri"/>
    </font>
    <font>
      <b/>
      <sz val="11"/>
      <name val="Calibri"/>
    </font>
    <font>
      <b/>
      <sz val="14"/>
      <name val="Calibri"/>
    </font>
    <font>
      <b/>
      <sz val="14"/>
      <color rgb="FFC0392B"/>
      <name val="Calibri"/>
    </font>
    <font>
      <b/>
      <sz val="14"/>
      <color rgb="FF27AE6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A6B82"/>
        <bgColor rgb="FF4A6B82"/>
      </patternFill>
    </fill>
    <fill>
      <patternFill patternType="solid">
        <fgColor rgb="FF2C3E50"/>
        <bgColor rgb="FF2C3E50"/>
      </patternFill>
    </fill>
    <fill>
      <patternFill patternType="solid">
        <fgColor rgb="FFC0392B"/>
        <bgColor rgb="FFC0392B"/>
      </patternFill>
    </fill>
    <fill>
      <patternFill patternType="solid">
        <fgColor rgb="FF27AE60"/>
        <bgColor rgb="FF27AE60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4" fillId="0" borderId="0" xfId="0" applyFont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5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</cellXfs>
  <cellStyles count="1">
    <cellStyle name="Normal" xfId="0" builtinId="0"/>
  </cellStyles>
  <dxfs count="4">
    <dxf>
      <font>
        <b/>
        <color rgb="FF1E8449"/>
      </font>
      <fill>
        <patternFill patternType="solid">
          <fgColor rgb="FFD4EFDF"/>
          <bgColor rgb="FFD4EFDF"/>
        </patternFill>
      </fill>
    </dxf>
    <dxf>
      <font>
        <b/>
        <color rgb="FFB7950B"/>
      </font>
      <fill>
        <patternFill patternType="solid">
          <fgColor rgb="FFFCF3CF"/>
          <bgColor rgb="FFFCF3CF"/>
        </patternFill>
      </fill>
    </dxf>
    <dxf>
      <font>
        <b/>
        <color rgb="FF922B21"/>
      </font>
      <fill>
        <patternFill patternType="solid">
          <fgColor rgb="FFFADBD8"/>
          <bgColor rgb="FFFADBD8"/>
        </patternFill>
      </fill>
    </dxf>
    <dxf>
      <font>
        <b/>
        <color rgb="FF922B21"/>
      </font>
      <fill>
        <patternFill patternType="solid">
          <fgColor rgb="FFFADBD8"/>
          <bgColor rgb="FFFADBD8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/>
  </sheetViews>
  <sheetFormatPr defaultRowHeight="14.4" x14ac:dyDescent="0.3"/>
  <cols>
    <col min="1" max="1" width="14" customWidth="1"/>
    <col min="2" max="2" width="28" customWidth="1"/>
    <col min="3" max="3" width="35" customWidth="1"/>
    <col min="4" max="7" width="14" customWidth="1"/>
  </cols>
  <sheetData>
    <row r="1" spans="1:7" ht="21" x14ac:dyDescent="0.4">
      <c r="A1" s="1" t="s">
        <v>0</v>
      </c>
    </row>
    <row r="2" spans="1:7" x14ac:dyDescent="0.3">
      <c r="A2" s="2" t="s">
        <v>1</v>
      </c>
    </row>
    <row r="4" spans="1:7" x14ac:dyDescent="0.3">
      <c r="A4" s="3" t="s">
        <v>2</v>
      </c>
      <c r="B4" s="4" t="s">
        <v>3</v>
      </c>
      <c r="C4" s="5" t="s">
        <v>4</v>
      </c>
    </row>
    <row r="5" spans="1:7" ht="18" x14ac:dyDescent="0.35">
      <c r="A5" s="6">
        <f>COUNTA('Risk Register'!A5:A20)</f>
        <v>16</v>
      </c>
      <c r="B5" s="7">
        <f>COUNTIF('Risk Register'!G5:G20, "&gt;=6")</f>
        <v>8</v>
      </c>
      <c r="C5" s="8">
        <f>COUNTIF('Risk Register'!G5:G20, "&lt;6")</f>
        <v>8</v>
      </c>
    </row>
    <row r="7" spans="1:7" ht="17.399999999999999" x14ac:dyDescent="0.35">
      <c r="A7" s="9" t="s">
        <v>5</v>
      </c>
    </row>
    <row r="8" spans="1:7" x14ac:dyDescent="0.3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3">
      <c r="A9" s="11" t="str">
        <f>'Risk Register'!A5</f>
        <v>R001</v>
      </c>
      <c r="B9" s="12" t="str">
        <f>'Risk Register'!B5</f>
        <v>Technical Risks</v>
      </c>
      <c r="C9" s="12" t="str">
        <f>'Risk Register'!C5</f>
        <v>Scope Creep</v>
      </c>
      <c r="D9" s="11">
        <f>'Risk Register'!E5</f>
        <v>3</v>
      </c>
      <c r="E9" s="11">
        <f>'Risk Register'!F5</f>
        <v>3</v>
      </c>
      <c r="F9" s="13">
        <f>'Risk Register'!G5</f>
        <v>9</v>
      </c>
      <c r="G9" s="11" t="str">
        <f>'Risk Register'!H5</f>
        <v>Critical</v>
      </c>
    </row>
    <row r="10" spans="1:7" x14ac:dyDescent="0.3">
      <c r="A10" s="11" t="str">
        <f>'Risk Register'!A15</f>
        <v>R011</v>
      </c>
      <c r="B10" s="12" t="str">
        <f>'Risk Register'!B15</f>
        <v>Project Management Risks</v>
      </c>
      <c r="C10" s="12" t="str">
        <f>'Risk Register'!C15</f>
        <v>Insufficient Development Time</v>
      </c>
      <c r="D10" s="11">
        <f>'Risk Register'!E15</f>
        <v>3</v>
      </c>
      <c r="E10" s="11">
        <f>'Risk Register'!F15</f>
        <v>3</v>
      </c>
      <c r="F10" s="13">
        <f>'Risk Register'!G15</f>
        <v>9</v>
      </c>
      <c r="G10" s="11" t="str">
        <f>'Risk Register'!H15</f>
        <v>Critical</v>
      </c>
    </row>
    <row r="11" spans="1:7" x14ac:dyDescent="0.3">
      <c r="A11" s="11" t="str">
        <f>'Risk Register'!A6</f>
        <v>R002</v>
      </c>
      <c r="B11" s="12" t="str">
        <f>'Risk Register'!B6</f>
        <v>Technical Risks</v>
      </c>
      <c r="C11" s="12" t="str">
        <f>'Risk Register'!C6</f>
        <v>Monitoring Agent Complexity</v>
      </c>
      <c r="D11" s="11">
        <f>'Risk Register'!E6</f>
        <v>2</v>
      </c>
      <c r="E11" s="11">
        <f>'Risk Register'!F6</f>
        <v>3</v>
      </c>
      <c r="F11" s="13">
        <f>'Risk Register'!G6</f>
        <v>6</v>
      </c>
      <c r="G11" s="11" t="str">
        <f>'Risk Register'!H6</f>
        <v>Critical</v>
      </c>
    </row>
    <row r="12" spans="1:7" x14ac:dyDescent="0.3">
      <c r="A12" s="11" t="str">
        <f>'Risk Register'!A9</f>
        <v>R005</v>
      </c>
      <c r="B12" s="12" t="str">
        <f>'Risk Register'!B9</f>
        <v>Cloud &amp; Infrastructure Risks</v>
      </c>
      <c r="C12" s="12" t="str">
        <f>'Risk Register'!C9</f>
        <v>Lack of Azure/AWS Access</v>
      </c>
      <c r="D12" s="11">
        <f>'Risk Register'!E9</f>
        <v>3</v>
      </c>
      <c r="E12" s="11">
        <f>'Risk Register'!F9</f>
        <v>2</v>
      </c>
      <c r="F12" s="13">
        <f>'Risk Register'!G9</f>
        <v>6</v>
      </c>
      <c r="G12" s="11" t="str">
        <f>'Risk Register'!H9</f>
        <v>Critical</v>
      </c>
    </row>
    <row r="13" spans="1:7" x14ac:dyDescent="0.3">
      <c r="A13" s="11" t="str">
        <f>'Risk Register'!A12</f>
        <v>R008</v>
      </c>
      <c r="B13" s="12" t="str">
        <f>'Risk Register'!B12</f>
        <v>Security Risks</v>
      </c>
      <c r="C13" s="12" t="str">
        <f>'Risk Register'!C12</f>
        <v>Sensitive Data Exposure</v>
      </c>
      <c r="D13" s="11">
        <f>'Risk Register'!E12</f>
        <v>2</v>
      </c>
      <c r="E13" s="11">
        <f>'Risk Register'!F12</f>
        <v>3</v>
      </c>
      <c r="F13" s="13">
        <f>'Risk Register'!G12</f>
        <v>6</v>
      </c>
      <c r="G13" s="11" t="str">
        <f>'Risk Register'!H12</f>
        <v>Critical</v>
      </c>
    </row>
    <row r="14" spans="1:7" x14ac:dyDescent="0.3">
      <c r="A14" s="11" t="str">
        <f>'Risk Register'!A13</f>
        <v>R009</v>
      </c>
      <c r="B14" s="12" t="str">
        <f>'Risk Register'!B13</f>
        <v>Security Risks</v>
      </c>
      <c r="C14" s="12" t="str">
        <f>'Risk Register'!C13</f>
        <v>Authentication Vulnerabilities</v>
      </c>
      <c r="D14" s="11">
        <f>'Risk Register'!E13</f>
        <v>2</v>
      </c>
      <c r="E14" s="11">
        <f>'Risk Register'!F13</f>
        <v>3</v>
      </c>
      <c r="F14" s="13">
        <f>'Risk Register'!G13</f>
        <v>6</v>
      </c>
      <c r="G14" s="11" t="str">
        <f>'Risk Register'!H13</f>
        <v>Critical</v>
      </c>
    </row>
    <row r="15" spans="1:7" x14ac:dyDescent="0.3">
      <c r="A15" s="11" t="str">
        <f>'Risk Register'!A17</f>
        <v>R013</v>
      </c>
      <c r="B15" s="12" t="str">
        <f>'Risk Register'!B17</f>
        <v>Project Management Risks</v>
      </c>
      <c r="C15" s="12" t="str">
        <f>'Risk Register'!C17</f>
        <v>Poor Documentation</v>
      </c>
      <c r="D15" s="11">
        <f>'Risk Register'!E17</f>
        <v>3</v>
      </c>
      <c r="E15" s="11">
        <f>'Risk Register'!F17</f>
        <v>2</v>
      </c>
      <c r="F15" s="13">
        <f>'Risk Register'!G17</f>
        <v>6</v>
      </c>
      <c r="G15" s="11" t="str">
        <f>'Risk Register'!H17</f>
        <v>Critical</v>
      </c>
    </row>
    <row r="16" spans="1:7" x14ac:dyDescent="0.3">
      <c r="A16" s="11" t="str">
        <f>'Risk Register'!A20</f>
        <v>R016</v>
      </c>
      <c r="B16" s="12" t="str">
        <f>'Risk Register'!B20</f>
        <v>Academic Risks</v>
      </c>
      <c r="C16" s="12" t="str">
        <f>'Risk Register'!C20</f>
        <v>Failure to Meet Capstone Requirements</v>
      </c>
      <c r="D16" s="11">
        <f>'Risk Register'!E20</f>
        <v>2</v>
      </c>
      <c r="E16" s="11">
        <f>'Risk Register'!F20</f>
        <v>3</v>
      </c>
      <c r="F16" s="13">
        <f>'Risk Register'!G20</f>
        <v>6</v>
      </c>
      <c r="G16" s="11" t="str">
        <f>'Risk Register'!H20</f>
        <v>Critical</v>
      </c>
    </row>
  </sheetData>
  <conditionalFormatting sqref="F9:F16">
    <cfRule type="cellIs" dxfId="3" priority="1" operator="greaterThanOrEqual">
      <formula>6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"/>
  <sheetViews>
    <sheetView workbookViewId="0"/>
  </sheetViews>
  <sheetFormatPr defaultRowHeight="14.4" x14ac:dyDescent="0.3"/>
  <cols>
    <col min="1" max="1" width="12" customWidth="1"/>
    <col min="2" max="2" width="25" customWidth="1"/>
    <col min="3" max="3" width="30" customWidth="1"/>
    <col min="4" max="4" width="38" customWidth="1"/>
    <col min="5" max="8" width="14" customWidth="1"/>
    <col min="9" max="9" width="45" customWidth="1"/>
    <col min="10" max="10" width="38" customWidth="1"/>
  </cols>
  <sheetData>
    <row r="1" spans="1:10" ht="21" x14ac:dyDescent="0.4">
      <c r="A1" s="1" t="s">
        <v>13</v>
      </c>
    </row>
    <row r="2" spans="1:10" x14ac:dyDescent="0.3">
      <c r="A2" s="2" t="s">
        <v>14</v>
      </c>
    </row>
    <row r="4" spans="1:10" x14ac:dyDescent="0.3">
      <c r="A4" s="14" t="s">
        <v>6</v>
      </c>
      <c r="B4" s="14" t="s">
        <v>7</v>
      </c>
      <c r="C4" s="14" t="s">
        <v>8</v>
      </c>
      <c r="D4" s="14" t="s">
        <v>15</v>
      </c>
      <c r="E4" s="14" t="s">
        <v>9</v>
      </c>
      <c r="F4" s="14" t="s">
        <v>10</v>
      </c>
      <c r="G4" s="14" t="s">
        <v>11</v>
      </c>
      <c r="H4" s="14" t="s">
        <v>12</v>
      </c>
      <c r="I4" s="14" t="s">
        <v>16</v>
      </c>
      <c r="J4" s="14" t="s">
        <v>17</v>
      </c>
    </row>
    <row r="5" spans="1:10" ht="72" x14ac:dyDescent="0.3">
      <c r="A5" s="11" t="s">
        <v>18</v>
      </c>
      <c r="B5" s="12" t="s">
        <v>19</v>
      </c>
      <c r="C5" s="12" t="s">
        <v>20</v>
      </c>
      <c r="D5" s="15" t="s">
        <v>21</v>
      </c>
      <c r="E5" s="11">
        <v>3</v>
      </c>
      <c r="F5" s="11">
        <v>3</v>
      </c>
      <c r="G5" s="13">
        <f t="shared" ref="G5:G20" si="0">E5*F5</f>
        <v>9</v>
      </c>
      <c r="H5" s="11" t="str">
        <f t="shared" ref="H5:H20" si="1">IF(G5&gt;=6,"Critical",IF(G5&gt;=4,"High",IF(G5&gt;=3,"Moderate","Low")))</f>
        <v>Critical</v>
      </c>
      <c r="I5" s="15" t="s">
        <v>22</v>
      </c>
      <c r="J5" s="15" t="s">
        <v>23</v>
      </c>
    </row>
    <row r="6" spans="1:10" ht="57.6" x14ac:dyDescent="0.3">
      <c r="A6" s="11" t="s">
        <v>24</v>
      </c>
      <c r="B6" s="12" t="s">
        <v>19</v>
      </c>
      <c r="C6" s="12" t="s">
        <v>25</v>
      </c>
      <c r="D6" s="15" t="s">
        <v>26</v>
      </c>
      <c r="E6" s="11">
        <v>2</v>
      </c>
      <c r="F6" s="11">
        <v>3</v>
      </c>
      <c r="G6" s="13">
        <f t="shared" si="0"/>
        <v>6</v>
      </c>
      <c r="H6" s="11" t="str">
        <f t="shared" si="1"/>
        <v>Critical</v>
      </c>
      <c r="I6" s="15" t="s">
        <v>27</v>
      </c>
      <c r="J6" s="15" t="s">
        <v>28</v>
      </c>
    </row>
    <row r="7" spans="1:10" ht="43.2" x14ac:dyDescent="0.3">
      <c r="A7" s="11" t="s">
        <v>29</v>
      </c>
      <c r="B7" s="12" t="s">
        <v>19</v>
      </c>
      <c r="C7" s="12" t="s">
        <v>30</v>
      </c>
      <c r="D7" s="15" t="s">
        <v>31</v>
      </c>
      <c r="E7" s="11">
        <v>2</v>
      </c>
      <c r="F7" s="11">
        <v>2</v>
      </c>
      <c r="G7" s="13">
        <f t="shared" si="0"/>
        <v>4</v>
      </c>
      <c r="H7" s="11" t="str">
        <f t="shared" si="1"/>
        <v>High</v>
      </c>
      <c r="I7" s="15" t="s">
        <v>32</v>
      </c>
      <c r="J7" s="15" t="s">
        <v>33</v>
      </c>
    </row>
    <row r="8" spans="1:10" ht="43.2" x14ac:dyDescent="0.3">
      <c r="A8" s="11" t="s">
        <v>34</v>
      </c>
      <c r="B8" s="12" t="s">
        <v>19</v>
      </c>
      <c r="C8" s="12" t="s">
        <v>35</v>
      </c>
      <c r="D8" s="15" t="s">
        <v>36</v>
      </c>
      <c r="E8" s="11">
        <v>2</v>
      </c>
      <c r="F8" s="11">
        <v>2</v>
      </c>
      <c r="G8" s="13">
        <f t="shared" si="0"/>
        <v>4</v>
      </c>
      <c r="H8" s="11" t="str">
        <f t="shared" si="1"/>
        <v>High</v>
      </c>
      <c r="I8" s="15" t="s">
        <v>37</v>
      </c>
      <c r="J8" s="15" t="s">
        <v>38</v>
      </c>
    </row>
    <row r="9" spans="1:10" ht="43.2" x14ac:dyDescent="0.3">
      <c r="A9" s="11" t="s">
        <v>39</v>
      </c>
      <c r="B9" s="12" t="s">
        <v>40</v>
      </c>
      <c r="C9" s="12" t="s">
        <v>41</v>
      </c>
      <c r="D9" s="15" t="s">
        <v>42</v>
      </c>
      <c r="E9" s="11">
        <v>3</v>
      </c>
      <c r="F9" s="11">
        <v>2</v>
      </c>
      <c r="G9" s="13">
        <f t="shared" si="0"/>
        <v>6</v>
      </c>
      <c r="H9" s="11" t="str">
        <f t="shared" si="1"/>
        <v>Critical</v>
      </c>
      <c r="I9" s="15" t="s">
        <v>43</v>
      </c>
      <c r="J9" s="15" t="s">
        <v>44</v>
      </c>
    </row>
    <row r="10" spans="1:10" ht="43.2" x14ac:dyDescent="0.3">
      <c r="A10" s="11" t="s">
        <v>45</v>
      </c>
      <c r="B10" s="12" t="s">
        <v>40</v>
      </c>
      <c r="C10" s="12" t="s">
        <v>46</v>
      </c>
      <c r="D10" s="15" t="s">
        <v>47</v>
      </c>
      <c r="E10" s="11">
        <v>2</v>
      </c>
      <c r="F10" s="11">
        <v>2</v>
      </c>
      <c r="G10" s="13">
        <f t="shared" si="0"/>
        <v>4</v>
      </c>
      <c r="H10" s="11" t="str">
        <f t="shared" si="1"/>
        <v>High</v>
      </c>
      <c r="I10" s="15" t="s">
        <v>48</v>
      </c>
      <c r="J10" s="15" t="s">
        <v>49</v>
      </c>
    </row>
    <row r="11" spans="1:10" ht="28.8" x14ac:dyDescent="0.3">
      <c r="A11" s="11" t="s">
        <v>50</v>
      </c>
      <c r="B11" s="12" t="s">
        <v>40</v>
      </c>
      <c r="C11" s="12" t="s">
        <v>51</v>
      </c>
      <c r="D11" s="15" t="s">
        <v>52</v>
      </c>
      <c r="E11" s="11">
        <v>2</v>
      </c>
      <c r="F11" s="11">
        <v>2</v>
      </c>
      <c r="G11" s="13">
        <f t="shared" si="0"/>
        <v>4</v>
      </c>
      <c r="H11" s="11" t="str">
        <f t="shared" si="1"/>
        <v>High</v>
      </c>
      <c r="I11" s="15" t="s">
        <v>53</v>
      </c>
      <c r="J11" s="15" t="s">
        <v>54</v>
      </c>
    </row>
    <row r="12" spans="1:10" ht="43.2" x14ac:dyDescent="0.3">
      <c r="A12" s="11" t="s">
        <v>55</v>
      </c>
      <c r="B12" s="12" t="s">
        <v>56</v>
      </c>
      <c r="C12" s="12" t="s">
        <v>57</v>
      </c>
      <c r="D12" s="15" t="s">
        <v>58</v>
      </c>
      <c r="E12" s="11">
        <v>2</v>
      </c>
      <c r="F12" s="11">
        <v>3</v>
      </c>
      <c r="G12" s="13">
        <f t="shared" si="0"/>
        <v>6</v>
      </c>
      <c r="H12" s="11" t="str">
        <f t="shared" si="1"/>
        <v>Critical</v>
      </c>
      <c r="I12" s="15" t="s">
        <v>59</v>
      </c>
      <c r="J12" s="15" t="s">
        <v>60</v>
      </c>
    </row>
    <row r="13" spans="1:10" ht="43.2" x14ac:dyDescent="0.3">
      <c r="A13" s="11" t="s">
        <v>61</v>
      </c>
      <c r="B13" s="12" t="s">
        <v>56</v>
      </c>
      <c r="C13" s="12" t="s">
        <v>62</v>
      </c>
      <c r="D13" s="15" t="s">
        <v>63</v>
      </c>
      <c r="E13" s="11">
        <v>2</v>
      </c>
      <c r="F13" s="11">
        <v>3</v>
      </c>
      <c r="G13" s="13">
        <f t="shared" si="0"/>
        <v>6</v>
      </c>
      <c r="H13" s="11" t="str">
        <f t="shared" si="1"/>
        <v>Critical</v>
      </c>
      <c r="I13" s="15" t="s">
        <v>64</v>
      </c>
      <c r="J13" s="15" t="s">
        <v>65</v>
      </c>
    </row>
    <row r="14" spans="1:10" ht="43.2" x14ac:dyDescent="0.3">
      <c r="A14" s="11" t="s">
        <v>66</v>
      </c>
      <c r="B14" s="12" t="s">
        <v>56</v>
      </c>
      <c r="C14" s="12" t="s">
        <v>67</v>
      </c>
      <c r="D14" s="15" t="s">
        <v>68</v>
      </c>
      <c r="E14" s="11">
        <v>1</v>
      </c>
      <c r="F14" s="11">
        <v>3</v>
      </c>
      <c r="G14" s="13">
        <f t="shared" si="0"/>
        <v>3</v>
      </c>
      <c r="H14" s="11" t="str">
        <f t="shared" si="1"/>
        <v>Moderate</v>
      </c>
      <c r="I14" s="15" t="s">
        <v>69</v>
      </c>
      <c r="J14" s="15" t="s">
        <v>70</v>
      </c>
    </row>
    <row r="15" spans="1:10" ht="43.2" x14ac:dyDescent="0.3">
      <c r="A15" s="11" t="s">
        <v>71</v>
      </c>
      <c r="B15" s="12" t="s">
        <v>72</v>
      </c>
      <c r="C15" s="12" t="s">
        <v>73</v>
      </c>
      <c r="D15" s="15" t="s">
        <v>74</v>
      </c>
      <c r="E15" s="11">
        <v>3</v>
      </c>
      <c r="F15" s="11">
        <v>3</v>
      </c>
      <c r="G15" s="13">
        <f t="shared" si="0"/>
        <v>9</v>
      </c>
      <c r="H15" s="11" t="str">
        <f t="shared" si="1"/>
        <v>Critical</v>
      </c>
      <c r="I15" s="15" t="s">
        <v>75</v>
      </c>
      <c r="J15" s="15" t="s">
        <v>76</v>
      </c>
    </row>
    <row r="16" spans="1:10" ht="43.2" x14ac:dyDescent="0.3">
      <c r="A16" s="11" t="s">
        <v>77</v>
      </c>
      <c r="B16" s="12" t="s">
        <v>72</v>
      </c>
      <c r="C16" s="12" t="s">
        <v>78</v>
      </c>
      <c r="D16" s="15" t="s">
        <v>79</v>
      </c>
      <c r="E16" s="11">
        <v>2</v>
      </c>
      <c r="F16" s="11">
        <v>2</v>
      </c>
      <c r="G16" s="13">
        <f t="shared" si="0"/>
        <v>4</v>
      </c>
      <c r="H16" s="11" t="str">
        <f t="shared" si="1"/>
        <v>High</v>
      </c>
      <c r="I16" s="15" t="s">
        <v>80</v>
      </c>
      <c r="J16" s="15" t="s">
        <v>81</v>
      </c>
    </row>
    <row r="17" spans="1:10" ht="28.8" x14ac:dyDescent="0.3">
      <c r="A17" s="11" t="s">
        <v>82</v>
      </c>
      <c r="B17" s="12" t="s">
        <v>72</v>
      </c>
      <c r="C17" s="12" t="s">
        <v>83</v>
      </c>
      <c r="D17" s="15" t="s">
        <v>84</v>
      </c>
      <c r="E17" s="11">
        <v>3</v>
      </c>
      <c r="F17" s="11">
        <v>2</v>
      </c>
      <c r="G17" s="13">
        <f t="shared" si="0"/>
        <v>6</v>
      </c>
      <c r="H17" s="11" t="str">
        <f t="shared" si="1"/>
        <v>Critical</v>
      </c>
      <c r="I17" s="15" t="s">
        <v>85</v>
      </c>
      <c r="J17" s="15" t="s">
        <v>86</v>
      </c>
    </row>
    <row r="18" spans="1:10" ht="43.2" x14ac:dyDescent="0.3">
      <c r="A18" s="11" t="s">
        <v>87</v>
      </c>
      <c r="B18" s="12" t="s">
        <v>88</v>
      </c>
      <c r="C18" s="12" t="s">
        <v>89</v>
      </c>
      <c r="D18" s="15" t="s">
        <v>90</v>
      </c>
      <c r="E18" s="11">
        <v>2</v>
      </c>
      <c r="F18" s="11">
        <v>2</v>
      </c>
      <c r="G18" s="13">
        <f t="shared" si="0"/>
        <v>4</v>
      </c>
      <c r="H18" s="11" t="str">
        <f t="shared" si="1"/>
        <v>High</v>
      </c>
      <c r="I18" s="15" t="s">
        <v>91</v>
      </c>
      <c r="J18" s="15" t="s">
        <v>92</v>
      </c>
    </row>
    <row r="19" spans="1:10" ht="43.2" x14ac:dyDescent="0.3">
      <c r="A19" s="11" t="s">
        <v>93</v>
      </c>
      <c r="B19" s="12" t="s">
        <v>88</v>
      </c>
      <c r="C19" s="12" t="s">
        <v>94</v>
      </c>
      <c r="D19" s="15" t="s">
        <v>95</v>
      </c>
      <c r="E19" s="11">
        <v>2</v>
      </c>
      <c r="F19" s="11">
        <v>2</v>
      </c>
      <c r="G19" s="13">
        <f t="shared" si="0"/>
        <v>4</v>
      </c>
      <c r="H19" s="11" t="str">
        <f t="shared" si="1"/>
        <v>High</v>
      </c>
      <c r="I19" s="15" t="s">
        <v>96</v>
      </c>
      <c r="J19" s="15" t="s">
        <v>97</v>
      </c>
    </row>
    <row r="20" spans="1:10" ht="100.8" x14ac:dyDescent="0.3">
      <c r="A20" s="11" t="s">
        <v>98</v>
      </c>
      <c r="B20" s="12" t="s">
        <v>99</v>
      </c>
      <c r="C20" s="12" t="s">
        <v>100</v>
      </c>
      <c r="D20" s="15" t="s">
        <v>101</v>
      </c>
      <c r="E20" s="11">
        <v>2</v>
      </c>
      <c r="F20" s="11">
        <v>3</v>
      </c>
      <c r="G20" s="13">
        <f t="shared" si="0"/>
        <v>6</v>
      </c>
      <c r="H20" s="11" t="str">
        <f t="shared" si="1"/>
        <v>Critical</v>
      </c>
      <c r="I20" s="15" t="s">
        <v>102</v>
      </c>
      <c r="J20" s="15" t="s">
        <v>103</v>
      </c>
    </row>
  </sheetData>
  <conditionalFormatting sqref="G5:G20">
    <cfRule type="cellIs" dxfId="2" priority="1" operator="greaterThanOrEqual">
      <formula>6</formula>
    </cfRule>
    <cfRule type="cellIs" dxfId="1" priority="2" operator="between">
      <formula>4</formula>
      <formula>5</formula>
    </cfRule>
    <cfRule type="cellIs" dxfId="0" priority="3" operator="lessThan">
      <formula>4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workbookViewId="0"/>
  </sheetViews>
  <sheetFormatPr defaultRowHeight="14.4" x14ac:dyDescent="0.3"/>
  <cols>
    <col min="1" max="1" width="22" customWidth="1"/>
    <col min="2" max="2" width="12" customWidth="1"/>
    <col min="3" max="3" width="21" customWidth="1"/>
    <col min="4" max="4" width="12" customWidth="1"/>
    <col min="5" max="5" width="16" customWidth="1"/>
    <col min="6" max="6" width="12" customWidth="1"/>
    <col min="7" max="7" width="42" customWidth="1"/>
  </cols>
  <sheetData>
    <row r="1" spans="1:7" ht="21" x14ac:dyDescent="0.4">
      <c r="A1" s="1" t="s">
        <v>104</v>
      </c>
    </row>
    <row r="3" spans="1:7" ht="17.399999999999999" x14ac:dyDescent="0.35">
      <c r="A3" s="9" t="s">
        <v>105</v>
      </c>
      <c r="E3" s="9" t="s">
        <v>106</v>
      </c>
    </row>
    <row r="4" spans="1:7" x14ac:dyDescent="0.3">
      <c r="A4" s="16" t="s">
        <v>107</v>
      </c>
      <c r="B4" s="16" t="s">
        <v>108</v>
      </c>
      <c r="C4" s="17" t="s">
        <v>15</v>
      </c>
      <c r="E4" s="16" t="s">
        <v>107</v>
      </c>
      <c r="F4" s="16" t="s">
        <v>108</v>
      </c>
      <c r="G4" s="17" t="s">
        <v>15</v>
      </c>
    </row>
    <row r="5" spans="1:7" x14ac:dyDescent="0.3">
      <c r="A5" s="11" t="s">
        <v>109</v>
      </c>
      <c r="B5" s="11">
        <v>1</v>
      </c>
      <c r="C5" s="12" t="s">
        <v>110</v>
      </c>
      <c r="E5" s="11" t="s">
        <v>109</v>
      </c>
      <c r="F5" s="11">
        <v>1</v>
      </c>
      <c r="G5" s="12" t="s">
        <v>111</v>
      </c>
    </row>
    <row r="6" spans="1:7" x14ac:dyDescent="0.3">
      <c r="A6" s="11" t="s">
        <v>112</v>
      </c>
      <c r="B6" s="11">
        <v>2</v>
      </c>
      <c r="C6" s="12" t="s">
        <v>113</v>
      </c>
      <c r="E6" s="11" t="s">
        <v>112</v>
      </c>
      <c r="F6" s="11">
        <v>2</v>
      </c>
      <c r="G6" s="12" t="s">
        <v>114</v>
      </c>
    </row>
    <row r="7" spans="1:7" x14ac:dyDescent="0.3">
      <c r="A7" s="11" t="s">
        <v>115</v>
      </c>
      <c r="B7" s="11">
        <v>3</v>
      </c>
      <c r="C7" s="12" t="s">
        <v>116</v>
      </c>
      <c r="E7" s="11" t="s">
        <v>115</v>
      </c>
      <c r="F7" s="11">
        <v>3</v>
      </c>
      <c r="G7" s="12" t="s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Risk Register</vt:lpstr>
      <vt:lpstr>Rating Scales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Aaron King</cp:lastModifiedBy>
  <dcterms:created xsi:type="dcterms:W3CDTF">2026-09-15T22:31:54Z</dcterms:created>
  <dcterms:modified xsi:type="dcterms:W3CDTF">2026-09-15T22:33:23Z</dcterms:modified>
</cp:coreProperties>
</file>